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iquidtelecommunications-my.sharepoint.com/personal/brian_sichone_liquidtelecom_com/Documents/Desktop/"/>
    </mc:Choice>
  </mc:AlternateContent>
  <xr:revisionPtr revIDLastSave="3" documentId="8_{DC2A6255-EC2C-4C9C-B30E-91DD68BBD55D}" xr6:coauthVersionLast="47" xr6:coauthVersionMax="47" xr10:uidLastSave="{72A40123-5AE9-4AE3-83E3-9D54AC075792}"/>
  <bookViews>
    <workbookView minimized="1" xWindow="690" yWindow="1410" windowWidth="19190" windowHeight="100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F10" i="1"/>
  <c r="F15" i="1"/>
  <c r="F19" i="1"/>
  <c r="I18" i="1"/>
  <c r="F18" i="1" s="1"/>
  <c r="F12" i="1"/>
  <c r="F14" i="1"/>
  <c r="F9" i="1"/>
  <c r="F32" i="1"/>
  <c r="F40" i="1" l="1"/>
  <c r="F36" i="1"/>
  <c r="H36" i="1" s="1"/>
  <c r="G62" i="1"/>
  <c r="H62" i="1" s="1"/>
  <c r="G61" i="1"/>
  <c r="H61" i="1" s="1"/>
  <c r="H55" i="1"/>
  <c r="H53" i="1"/>
  <c r="G45" i="1"/>
  <c r="G44" i="1"/>
  <c r="G43" i="1"/>
  <c r="G42" i="1"/>
  <c r="G40" i="1"/>
  <c r="G39" i="1"/>
  <c r="G38" i="1"/>
  <c r="H38" i="1" s="1"/>
  <c r="G37" i="1"/>
  <c r="G35" i="1"/>
  <c r="G34" i="1"/>
  <c r="H32" i="1"/>
  <c r="G31" i="1"/>
  <c r="H31" i="1" s="1"/>
  <c r="G30" i="1"/>
  <c r="H30" i="1" s="1"/>
  <c r="G29" i="1"/>
  <c r="H29" i="1" s="1"/>
  <c r="H24" i="1"/>
  <c r="H22" i="1"/>
  <c r="H21" i="1"/>
  <c r="M20" i="1"/>
  <c r="H20" i="1"/>
  <c r="F17" i="1"/>
  <c r="H17" i="1" s="1"/>
  <c r="H16" i="1"/>
  <c r="H12" i="1"/>
  <c r="F8" i="1"/>
  <c r="F34" i="1" l="1"/>
  <c r="H34" i="1" s="1"/>
  <c r="I11" i="1"/>
  <c r="F11" i="1" s="1"/>
  <c r="H11" i="1" s="1"/>
  <c r="F35" i="1"/>
  <c r="H35" i="1" s="1"/>
  <c r="F37" i="1"/>
  <c r="H37" i="1" s="1"/>
  <c r="F54" i="1"/>
  <c r="H54" i="1" s="1"/>
  <c r="H63" i="1"/>
  <c r="I43" i="1"/>
  <c r="F39" i="1"/>
  <c r="H39" i="1" s="1"/>
  <c r="H14" i="1"/>
  <c r="I23" i="1"/>
  <c r="F23" i="1" s="1"/>
  <c r="H23" i="1" s="1"/>
  <c r="F56" i="1"/>
  <c r="H56" i="1" s="1"/>
  <c r="H40" i="1"/>
  <c r="H19" i="1"/>
  <c r="F45" i="1"/>
  <c r="H45" i="1" s="1"/>
  <c r="H18" i="1"/>
  <c r="H8" i="1"/>
  <c r="F43" i="1" l="1"/>
  <c r="F44" i="1" s="1"/>
  <c r="H44" i="1" s="1"/>
  <c r="F57" i="1"/>
  <c r="H57" i="1" s="1"/>
  <c r="H58" i="1" s="1"/>
  <c r="F33" i="1"/>
  <c r="H33" i="1" s="1"/>
  <c r="F41" i="1"/>
  <c r="H15" i="1"/>
  <c r="H10" i="1"/>
  <c r="H9" i="1"/>
  <c r="F42" i="1" l="1"/>
  <c r="H42" i="1" s="1"/>
  <c r="H41" i="1"/>
  <c r="H43" i="1"/>
  <c r="H25" i="1"/>
  <c r="H46" i="1" l="1"/>
  <c r="G49" i="1" s="1"/>
  <c r="H49" i="1" s="1"/>
  <c r="H65" i="1" s="1"/>
  <c r="H67" i="1" s="1"/>
  <c r="H69" i="1" s="1"/>
  <c r="M19" i="1" s="1"/>
  <c r="M21" i="1" s="1"/>
  <c r="M25" i="1" s="1"/>
  <c r="M26" i="1" s="1"/>
</calcChain>
</file>

<file path=xl/sharedStrings.xml><?xml version="1.0" encoding="utf-8"?>
<sst xmlns="http://schemas.openxmlformats.org/spreadsheetml/2006/main" count="150" uniqueCount="107">
  <si>
    <t>Title:</t>
  </si>
  <si>
    <t>XXX XXXX</t>
  </si>
  <si>
    <t>Requestor</t>
  </si>
  <si>
    <t>XXXX XXXX XXX</t>
  </si>
  <si>
    <t>SALES INPUT</t>
  </si>
  <si>
    <t>A</t>
  </si>
  <si>
    <t>LABOUR COST</t>
  </si>
  <si>
    <t>Aerial installation new build only</t>
  </si>
  <si>
    <t>Item</t>
  </si>
  <si>
    <t>Descriptions of Items</t>
  </si>
  <si>
    <t>UNIT</t>
  </si>
  <si>
    <t>Total
Units</t>
  </si>
  <si>
    <t>Unit Price (ZMW)</t>
  </si>
  <si>
    <t>Amount
(ZMW)</t>
  </si>
  <si>
    <t>Underground installation new build only</t>
  </si>
  <si>
    <t>Trenching in normal soil</t>
  </si>
  <si>
    <t>m</t>
  </si>
  <si>
    <t>Installation of aerial cable on existing poles</t>
  </si>
  <si>
    <t>Laying of duct and warning tape</t>
  </si>
  <si>
    <t>Installation of cable in duct in existing infrastructure</t>
  </si>
  <si>
    <t>Installation of cable in duct</t>
  </si>
  <si>
    <t>Manhole installation</t>
  </si>
  <si>
    <t>Each</t>
  </si>
  <si>
    <t>Installation of joint closure</t>
  </si>
  <si>
    <t>Customer NRC</t>
  </si>
  <si>
    <t xml:space="preserve">Installation of aerial cable </t>
  </si>
  <si>
    <t>Customer MRC</t>
  </si>
  <si>
    <t>Installation of Poles</t>
  </si>
  <si>
    <t>each</t>
  </si>
  <si>
    <t>Current Exchange rate</t>
  </si>
  <si>
    <t>Installation of Patch Panel / TB</t>
  </si>
  <si>
    <t>Installation of closure</t>
  </si>
  <si>
    <t>Installation to stay wire</t>
  </si>
  <si>
    <t>COST</t>
  </si>
  <si>
    <t>Installation of cable frame</t>
  </si>
  <si>
    <t>Build Cost</t>
  </si>
  <si>
    <t>Survey with utilities</t>
  </si>
  <si>
    <t>Customer One Off Cost - NRC</t>
  </si>
  <si>
    <t>Site preparation</t>
  </si>
  <si>
    <t>Net build Cost</t>
  </si>
  <si>
    <t>Splicing and testing</t>
  </si>
  <si>
    <t>Pole transportation</t>
  </si>
  <si>
    <t>Transport</t>
  </si>
  <si>
    <t>RETURN ON INVESTMENT</t>
  </si>
  <si>
    <t>ROI - Cost/Revenue (Months)</t>
  </si>
  <si>
    <t>ROI (Years)</t>
  </si>
  <si>
    <t>B</t>
  </si>
  <si>
    <t>MATERIALS COST</t>
  </si>
  <si>
    <t>Stock Code</t>
  </si>
  <si>
    <t>Material</t>
  </si>
  <si>
    <t>Unit</t>
  </si>
  <si>
    <t>Quantity</t>
  </si>
  <si>
    <t xml:space="preserve">Rate          </t>
  </si>
  <si>
    <t>Cost</t>
  </si>
  <si>
    <t>OFC-GE-0220</t>
  </si>
  <si>
    <t>Media Convertor</t>
  </si>
  <si>
    <t>Pcs</t>
  </si>
  <si>
    <t>NE-SFP-0010</t>
  </si>
  <si>
    <t>SFP 10km</t>
  </si>
  <si>
    <t>OFC-PC-0570</t>
  </si>
  <si>
    <t>Patch code</t>
  </si>
  <si>
    <t>OFC-GE-0400</t>
  </si>
  <si>
    <t>Cable 12 Core</t>
  </si>
  <si>
    <t>OFC-GE-0500</t>
  </si>
  <si>
    <t>Man hole 900mm</t>
  </si>
  <si>
    <t>OFC-GE-0300</t>
  </si>
  <si>
    <t>Warning tape</t>
  </si>
  <si>
    <t>OFC-GE-0890</t>
  </si>
  <si>
    <t>32mm HDPE Pipe PE100 Pipe Class 6</t>
  </si>
  <si>
    <t>OFC-GE-0830</t>
  </si>
  <si>
    <t>Downlead clamp</t>
  </si>
  <si>
    <t>OFC-DJ-0010</t>
  </si>
  <si>
    <t>Inline joint closure</t>
  </si>
  <si>
    <t>OFC-GE-0380</t>
  </si>
  <si>
    <t>Patch Panel / Splice box</t>
  </si>
  <si>
    <t>OFC-DJ-0090</t>
  </si>
  <si>
    <t>Joint closure (Dome)</t>
  </si>
  <si>
    <t>OFE-GE-1400</t>
  </si>
  <si>
    <t>Cable Frame</t>
  </si>
  <si>
    <t>OFC-GE-0900</t>
  </si>
  <si>
    <t>Wooden Poles</t>
  </si>
  <si>
    <t>OFC-GE-1380</t>
  </si>
  <si>
    <t>Pole clamps</t>
  </si>
  <si>
    <t>OFC-GE-0820</t>
  </si>
  <si>
    <t>Tensioners</t>
  </si>
  <si>
    <t>OFC-GE-0840</t>
  </si>
  <si>
    <t>Suspension clamps</t>
  </si>
  <si>
    <t>OFC-GE-1440</t>
  </si>
  <si>
    <t>Stay wire and assembly complete</t>
  </si>
  <si>
    <t>C</t>
  </si>
  <si>
    <t>ADMINISTRATIVE COST</t>
  </si>
  <si>
    <t xml:space="preserve">Supervision </t>
  </si>
  <si>
    <t>all</t>
  </si>
  <si>
    <t>D</t>
  </si>
  <si>
    <t>WAYLEAVE COST</t>
  </si>
  <si>
    <t>Application Fee</t>
  </si>
  <si>
    <t>Trench fee</t>
  </si>
  <si>
    <t>Thrustboring Fee</t>
  </si>
  <si>
    <t>Pole levy</t>
  </si>
  <si>
    <t>Manhole levy</t>
  </si>
  <si>
    <t>E</t>
  </si>
  <si>
    <t>Equipment</t>
  </si>
  <si>
    <t xml:space="preserve">Cisco 4221 </t>
  </si>
  <si>
    <t>Tplink Archer C6</t>
  </si>
  <si>
    <t>Total Due (A+B+C+D)</t>
  </si>
  <si>
    <t>VAT</t>
  </si>
  <si>
    <t>Total Due  (A+B+C) with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</si>
</sst>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  <charset val="204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53">
    <xf numFmtId="0" fontId="0" fillId="0" borderId="0" xfId="0"/>
    <xf numFmtId="0" fontId="2" fillId="0" borderId="0" xfId="0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4" fillId="2" borderId="1" xfId="0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" fontId="2" fillId="0" borderId="0" xfId="0" applyNumberFormat="1" applyFont="1" applyAlignment="1" applyProtection="1">
      <alignment horizontal="right"/>
      <protection locked="0"/>
    </xf>
    <xf numFmtId="4" fontId="4" fillId="0" borderId="0" xfId="0" applyNumberFormat="1" applyFont="1" applyAlignment="1" applyProtection="1">
      <alignment horizontal="right"/>
      <protection locked="0"/>
    </xf>
    <xf numFmtId="0" fontId="4" fillId="3" borderId="13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2" fillId="3" borderId="14" xfId="0" applyFont="1" applyFill="1" applyBorder="1"/>
    <xf numFmtId="0" fontId="2" fillId="3" borderId="14" xfId="0" applyFont="1" applyFill="1" applyBorder="1" applyAlignment="1">
      <alignment horizontal="center"/>
    </xf>
    <xf numFmtId="4" fontId="2" fillId="3" borderId="14" xfId="0" applyNumberFormat="1" applyFont="1" applyFill="1" applyBorder="1" applyAlignment="1">
      <alignment horizontal="right"/>
    </xf>
    <xf numFmtId="4" fontId="4" fillId="3" borderId="15" xfId="0" applyNumberFormat="1" applyFont="1" applyFill="1" applyBorder="1" applyAlignment="1">
      <alignment horizontal="right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left"/>
      <protection locked="0"/>
    </xf>
    <xf numFmtId="0" fontId="3" fillId="4" borderId="16" xfId="0" applyFont="1" applyFill="1" applyBorder="1" applyAlignment="1" applyProtection="1">
      <alignment horizontal="right" vertical="top"/>
      <protection locked="0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4" fontId="2" fillId="0" borderId="14" xfId="0" applyNumberFormat="1" applyFont="1" applyBorder="1" applyAlignment="1">
      <alignment horizontal="right"/>
    </xf>
    <xf numFmtId="4" fontId="2" fillId="0" borderId="15" xfId="0" applyNumberFormat="1" applyFont="1" applyBorder="1" applyAlignment="1">
      <alignment horizontal="right"/>
    </xf>
    <xf numFmtId="0" fontId="0" fillId="5" borderId="0" xfId="0" applyFill="1" applyProtection="1">
      <protection locked="0"/>
    </xf>
    <xf numFmtId="0" fontId="5" fillId="0" borderId="14" xfId="0" applyFont="1" applyBorder="1" applyProtection="1"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left"/>
      <protection locked="0"/>
    </xf>
    <xf numFmtId="0" fontId="3" fillId="4" borderId="14" xfId="0" applyFont="1" applyFill="1" applyBorder="1" applyAlignment="1" applyProtection="1">
      <alignment horizontal="right" vertical="top"/>
      <protection locked="0"/>
    </xf>
    <xf numFmtId="0" fontId="2" fillId="0" borderId="14" xfId="2" applyFont="1" applyBorder="1" applyAlignment="1">
      <alignment horizontal="left" vertical="top"/>
    </xf>
    <xf numFmtId="43" fontId="2" fillId="0" borderId="15" xfId="1" applyFont="1" applyFill="1" applyBorder="1" applyAlignment="1" applyProtection="1">
      <alignment vertical="center" wrapText="1"/>
    </xf>
    <xf numFmtId="0" fontId="2" fillId="0" borderId="17" xfId="0" applyFont="1" applyBorder="1" applyAlignment="1">
      <alignment horizontal="left" vertical="center"/>
    </xf>
    <xf numFmtId="0" fontId="2" fillId="0" borderId="14" xfId="0" applyFont="1" applyBorder="1" applyAlignment="1">
      <alignment vertical="center" wrapText="1"/>
    </xf>
    <xf numFmtId="164" fontId="3" fillId="4" borderId="14" xfId="1" applyNumberFormat="1" applyFont="1" applyFill="1" applyBorder="1" applyAlignment="1" applyProtection="1">
      <alignment horizontal="right" vertical="top"/>
      <protection locked="0"/>
    </xf>
    <xf numFmtId="0" fontId="2" fillId="0" borderId="17" xfId="2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0" fillId="6" borderId="10" xfId="0" applyFill="1" applyBorder="1"/>
    <xf numFmtId="0" fontId="0" fillId="6" borderId="11" xfId="0" applyFill="1" applyBorder="1"/>
    <xf numFmtId="43" fontId="3" fillId="6" borderId="12" xfId="1" applyFont="1" applyFill="1" applyBorder="1" applyAlignment="1" applyProtection="1">
      <alignment horizontal="right" vertical="top"/>
    </xf>
    <xf numFmtId="0" fontId="0" fillId="0" borderId="16" xfId="0" applyBorder="1" applyAlignment="1">
      <alignment horizontal="center"/>
    </xf>
    <xf numFmtId="0" fontId="5" fillId="0" borderId="16" xfId="0" applyFont="1" applyBorder="1"/>
    <xf numFmtId="43" fontId="3" fillId="0" borderId="16" xfId="1" applyFont="1" applyBorder="1" applyAlignment="1" applyProtection="1">
      <alignment horizontal="right" vertical="top"/>
    </xf>
    <xf numFmtId="0" fontId="0" fillId="0" borderId="14" xfId="0" applyBorder="1" applyAlignment="1">
      <alignment horizontal="center"/>
    </xf>
    <xf numFmtId="0" fontId="0" fillId="0" borderId="14" xfId="0" applyBorder="1"/>
    <xf numFmtId="43" fontId="3" fillId="0" borderId="14" xfId="1" applyFont="1" applyBorder="1" applyAlignment="1" applyProtection="1">
      <alignment horizontal="right" vertical="top"/>
    </xf>
    <xf numFmtId="4" fontId="2" fillId="0" borderId="14" xfId="0" applyNumberFormat="1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6" fillId="5" borderId="0" xfId="0" applyFont="1" applyFill="1" applyProtection="1">
      <protection locked="0"/>
    </xf>
    <xf numFmtId="43" fontId="3" fillId="0" borderId="0" xfId="1" applyFont="1" applyAlignment="1" applyProtection="1">
      <alignment horizontal="right" vertical="top"/>
    </xf>
    <xf numFmtId="0" fontId="2" fillId="0" borderId="19" xfId="0" applyFont="1" applyBorder="1" applyAlignment="1">
      <alignment horizontal="left" vertical="top"/>
    </xf>
    <xf numFmtId="4" fontId="2" fillId="0" borderId="5" xfId="0" applyNumberFormat="1" applyFont="1" applyBorder="1" applyAlignment="1">
      <alignment horizontal="right"/>
    </xf>
    <xf numFmtId="43" fontId="2" fillId="0" borderId="6" xfId="1" applyFont="1" applyFill="1" applyBorder="1" applyAlignment="1" applyProtection="1">
      <alignment vertical="center" wrapText="1"/>
    </xf>
    <xf numFmtId="0" fontId="2" fillId="0" borderId="2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3" fontId="4" fillId="0" borderId="22" xfId="1" applyFont="1" applyBorder="1" applyAlignment="1" applyProtection="1">
      <alignment horizontal="right"/>
    </xf>
    <xf numFmtId="0" fontId="0" fillId="0" borderId="16" xfId="0" applyBorder="1"/>
    <xf numFmtId="0" fontId="2" fillId="0" borderId="23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24" xfId="0" applyFont="1" applyBorder="1" applyProtection="1">
      <protection locked="0"/>
    </xf>
    <xf numFmtId="0" fontId="2" fillId="0" borderId="24" xfId="0" applyFont="1" applyBorder="1" applyAlignment="1" applyProtection="1">
      <alignment horizontal="center"/>
      <protection locked="0"/>
    </xf>
    <xf numFmtId="4" fontId="2" fillId="0" borderId="24" xfId="0" applyNumberFormat="1" applyFont="1" applyBorder="1" applyAlignment="1" applyProtection="1">
      <alignment horizontal="right"/>
      <protection locked="0"/>
    </xf>
    <xf numFmtId="4" fontId="4" fillId="0" borderId="25" xfId="0" applyNumberFormat="1" applyFont="1" applyBorder="1" applyAlignment="1" applyProtection="1">
      <alignment horizontal="right"/>
      <protection locked="0"/>
    </xf>
    <xf numFmtId="0" fontId="4" fillId="3" borderId="2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4" fontId="2" fillId="3" borderId="0" xfId="0" applyNumberFormat="1" applyFont="1" applyFill="1" applyAlignment="1">
      <alignment horizontal="right"/>
    </xf>
    <xf numFmtId="4" fontId="2" fillId="3" borderId="26" xfId="0" applyNumberFormat="1" applyFont="1" applyFill="1" applyBorder="1" applyAlignment="1">
      <alignment horizontal="right"/>
    </xf>
    <xf numFmtId="0" fontId="4" fillId="0" borderId="13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4" xfId="0" applyFont="1" applyBorder="1"/>
    <xf numFmtId="0" fontId="4" fillId="0" borderId="14" xfId="0" applyFont="1" applyBorder="1" applyAlignment="1">
      <alignment horizontal="center"/>
    </xf>
    <xf numFmtId="4" fontId="4" fillId="0" borderId="14" xfId="0" applyNumberFormat="1" applyFont="1" applyBorder="1" applyAlignment="1">
      <alignment horizontal="right"/>
    </xf>
    <xf numFmtId="4" fontId="4" fillId="0" borderId="15" xfId="0" applyNumberFormat="1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43" fontId="7" fillId="0" borderId="27" xfId="1" applyFont="1" applyBorder="1" applyProtection="1"/>
    <xf numFmtId="43" fontId="7" fillId="0" borderId="28" xfId="1" applyFont="1" applyBorder="1" applyProtection="1"/>
    <xf numFmtId="0" fontId="8" fillId="0" borderId="14" xfId="0" applyFont="1" applyBorder="1"/>
    <xf numFmtId="4" fontId="2" fillId="0" borderId="28" xfId="0" applyNumberFormat="1" applyFont="1" applyBorder="1" applyAlignment="1">
      <alignment horizontal="right"/>
    </xf>
    <xf numFmtId="2" fontId="8" fillId="0" borderId="0" xfId="0" applyNumberFormat="1" applyFont="1" applyAlignment="1">
      <alignment horizontal="right"/>
    </xf>
    <xf numFmtId="0" fontId="5" fillId="0" borderId="0" xfId="0" applyFont="1" applyProtection="1">
      <protection locked="0"/>
    </xf>
    <xf numFmtId="0" fontId="2" fillId="0" borderId="21" xfId="0" applyFont="1" applyBorder="1" applyAlignment="1" applyProtection="1">
      <alignment horizontal="left"/>
      <protection locked="0"/>
    </xf>
    <xf numFmtId="4" fontId="4" fillId="0" borderId="26" xfId="0" applyNumberFormat="1" applyFont="1" applyBorder="1" applyAlignment="1" applyProtection="1">
      <alignment horizontal="right"/>
      <protection locked="0"/>
    </xf>
    <xf numFmtId="0" fontId="4" fillId="3" borderId="27" xfId="0" applyFont="1" applyFill="1" applyBorder="1" applyProtection="1">
      <protection locked="0"/>
    </xf>
    <xf numFmtId="0" fontId="4" fillId="3" borderId="28" xfId="0" applyFont="1" applyFill="1" applyBorder="1" applyProtection="1">
      <protection locked="0"/>
    </xf>
    <xf numFmtId="0" fontId="2" fillId="3" borderId="28" xfId="0" applyFont="1" applyFill="1" applyBorder="1" applyProtection="1">
      <protection locked="0"/>
    </xf>
    <xf numFmtId="0" fontId="2" fillId="3" borderId="29" xfId="0" applyFont="1" applyFill="1" applyBorder="1" applyProtection="1"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4" xfId="0" applyFont="1" applyBorder="1" applyProtection="1">
      <protection locked="0"/>
    </xf>
    <xf numFmtId="4" fontId="4" fillId="0" borderId="30" xfId="0" applyNumberFormat="1" applyFont="1" applyBorder="1" applyAlignment="1">
      <alignment horizontal="right"/>
    </xf>
    <xf numFmtId="4" fontId="4" fillId="0" borderId="31" xfId="0" applyNumberFormat="1" applyFont="1" applyBorder="1" applyAlignment="1">
      <alignment horizontal="right"/>
    </xf>
    <xf numFmtId="4" fontId="4" fillId="0" borderId="26" xfId="0" applyNumberFormat="1" applyFont="1" applyBorder="1" applyAlignment="1">
      <alignment horizontal="right"/>
    </xf>
    <xf numFmtId="0" fontId="4" fillId="3" borderId="7" xfId="0" applyFont="1" applyFill="1" applyBorder="1"/>
    <xf numFmtId="0" fontId="4" fillId="3" borderId="8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0" borderId="21" xfId="0" applyFont="1" applyBorder="1" applyAlignment="1" applyProtection="1">
      <alignment horizontal="center"/>
      <protection locked="0"/>
    </xf>
    <xf numFmtId="4" fontId="2" fillId="0" borderId="26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0" fontId="2" fillId="0" borderId="32" xfId="0" applyFont="1" applyBorder="1" applyAlignment="1" applyProtection="1">
      <alignment horizontal="left"/>
      <protection locked="0"/>
    </xf>
    <xf numFmtId="0" fontId="2" fillId="0" borderId="33" xfId="0" applyFont="1" applyBorder="1" applyAlignment="1" applyProtection="1">
      <alignment horizontal="left"/>
      <protection locked="0"/>
    </xf>
    <xf numFmtId="0" fontId="4" fillId="0" borderId="33" xfId="0" applyFont="1" applyBorder="1"/>
    <xf numFmtId="4" fontId="4" fillId="2" borderId="14" xfId="0" applyNumberFormat="1" applyFont="1" applyFill="1" applyBorder="1" applyAlignment="1">
      <alignment horizontal="right"/>
    </xf>
    <xf numFmtId="0" fontId="5" fillId="0" borderId="14" xfId="0" applyFont="1" applyBorder="1" applyAlignment="1" applyProtection="1">
      <alignment horizontal="center"/>
      <protection locked="0"/>
    </xf>
    <xf numFmtId="0" fontId="2" fillId="0" borderId="14" xfId="0" applyFont="1" applyBorder="1" applyAlignment="1">
      <alignment horizontal="center" vertical="center" wrapText="1"/>
    </xf>
    <xf numFmtId="3" fontId="2" fillId="7" borderId="14" xfId="0" applyNumberFormat="1" applyFont="1" applyFill="1" applyBorder="1" applyAlignment="1">
      <alignment horizontal="center"/>
    </xf>
    <xf numFmtId="3" fontId="2" fillId="8" borderId="14" xfId="0" applyNumberFormat="1" applyFont="1" applyFill="1" applyBorder="1" applyAlignment="1">
      <alignment horizontal="center"/>
    </xf>
    <xf numFmtId="3" fontId="2" fillId="8" borderId="5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8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43" fontId="3" fillId="0" borderId="0" xfId="0" applyNumberFormat="1" applyFont="1" applyAlignment="1" applyProtection="1">
      <alignment horizontal="right" vertical="top"/>
      <protection locked="0"/>
    </xf>
    <xf numFmtId="0" fontId="2" fillId="0" borderId="17" xfId="2" applyFont="1" applyBorder="1" applyAlignment="1">
      <alignment horizontal="left" vertical="top" wrapText="1"/>
    </xf>
    <xf numFmtId="0" fontId="2" fillId="0" borderId="18" xfId="2" applyFont="1" applyBorder="1" applyAlignment="1">
      <alignment horizontal="left" vertical="top" wrapText="1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3" borderId="10" xfId="0" applyFont="1" applyFill="1" applyBorder="1" applyAlignment="1" applyProtection="1">
      <alignment horizontal="left"/>
      <protection locked="0"/>
    </xf>
    <xf numFmtId="0" fontId="5" fillId="3" borderId="11" xfId="0" applyFont="1" applyFill="1" applyBorder="1" applyAlignment="1" applyProtection="1">
      <alignment horizontal="left"/>
      <protection locked="0"/>
    </xf>
    <xf numFmtId="0" fontId="5" fillId="3" borderId="12" xfId="0" applyFont="1" applyFill="1" applyBorder="1" applyAlignment="1" applyProtection="1">
      <alignment horizontal="left"/>
      <protection locked="0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4" xfId="0" applyFont="1" applyBorder="1" applyAlignment="1" applyProtection="1">
      <alignment horizontal="left"/>
      <protection locked="0"/>
    </xf>
    <xf numFmtId="0" fontId="4" fillId="0" borderId="0" xfId="0" applyFont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2" fillId="0" borderId="17" xfId="0" applyFont="1" applyBorder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left"/>
      <protection locked="0"/>
    </xf>
    <xf numFmtId="43" fontId="0" fillId="0" borderId="0" xfId="0" applyNumberFormat="1" applyProtection="1">
      <protection locked="0"/>
    </xf>
  </cellXfs>
  <cellStyles count="3">
    <cellStyle name="Comma" xfId="1" builtinId="3"/>
    <cellStyle name="Normal" xfId="0" builtinId="0"/>
    <cellStyle name="Normal_~0034434" xfId="2" xr:uid="{CD1FCF18-37CC-48EE-B0E5-5CB13653436F}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590550</xdr:colOff>
      <xdr:row>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E36223-85D6-4A08-BBD4-9EAF1EC1C986}"/>
            </a:ext>
          </a:extLst>
        </xdr:cNvPr>
        <xdr:cNvSpPr txBox="1"/>
      </xdr:nvSpPr>
      <xdr:spPr>
        <a:xfrm>
          <a:off x="4229100" y="56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590550</xdr:colOff>
      <xdr:row>24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9D34CD-FE96-4770-B9C8-A9959B0C4217}"/>
            </a:ext>
          </a:extLst>
        </xdr:cNvPr>
        <xdr:cNvSpPr txBox="1"/>
      </xdr:nvSpPr>
      <xdr:spPr>
        <a:xfrm>
          <a:off x="4229100" y="484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32" workbookViewId="0">
      <selection activeCell="L37" sqref="L37"/>
    </sheetView>
  </sheetViews>
  <sheetFormatPr defaultColWidth="8.81640625" defaultRowHeight="14.5" x14ac:dyDescent="0.35"/>
  <cols>
    <col min="1" max="1" width="3.453125" style="2" customWidth="1"/>
    <col min="2" max="2" width="8.81640625" style="2"/>
    <col min="3" max="3" width="10.453125" style="2" customWidth="1"/>
    <col min="4" max="4" width="24.453125" style="2" customWidth="1"/>
    <col min="5" max="5" width="7.453125" style="2" customWidth="1"/>
    <col min="6" max="6" width="10.453125" style="121" customWidth="1"/>
    <col min="7" max="8" width="10.453125" style="2" customWidth="1"/>
    <col min="9" max="9" width="11.1796875" style="2" hidden="1" customWidth="1"/>
    <col min="10" max="10" width="8.81640625" style="2"/>
    <col min="11" max="11" width="6.54296875" style="2" customWidth="1"/>
    <col min="12" max="12" width="36.1796875" style="2" customWidth="1"/>
    <col min="13" max="13" width="15" style="3" customWidth="1"/>
    <col min="14" max="16384" width="8.81640625" style="2"/>
  </cols>
  <sheetData>
    <row r="1" spans="1:13" ht="15" thickBot="1" x14ac:dyDescent="0.4">
      <c r="A1" s="1"/>
      <c r="B1" s="1"/>
      <c r="C1" s="1"/>
      <c r="D1" s="1"/>
      <c r="E1" s="1"/>
      <c r="F1" s="7"/>
      <c r="G1" s="1"/>
      <c r="H1" s="1"/>
    </row>
    <row r="2" spans="1:13" x14ac:dyDescent="0.35">
      <c r="A2" s="1"/>
      <c r="B2" s="4" t="s">
        <v>0</v>
      </c>
      <c r="C2" s="125" t="s">
        <v>1</v>
      </c>
      <c r="D2" s="125"/>
      <c r="E2" s="125"/>
      <c r="F2" s="125"/>
      <c r="G2" s="125"/>
      <c r="H2" s="126"/>
    </row>
    <row r="3" spans="1:13" ht="15" thickBot="1" x14ac:dyDescent="0.4">
      <c r="A3" s="1"/>
      <c r="B3" s="5" t="s">
        <v>2</v>
      </c>
      <c r="C3" s="127" t="s">
        <v>3</v>
      </c>
      <c r="D3" s="127"/>
      <c r="E3" s="127"/>
      <c r="F3" s="127"/>
      <c r="G3" s="127"/>
      <c r="H3" s="128"/>
    </row>
    <row r="4" spans="1:13" ht="15" thickBot="1" x14ac:dyDescent="0.4">
      <c r="A4" s="1"/>
      <c r="B4" s="1"/>
      <c r="C4" s="1"/>
      <c r="D4" s="6"/>
      <c r="E4" s="6"/>
      <c r="F4" s="7"/>
      <c r="G4" s="8"/>
      <c r="H4" s="9"/>
    </row>
    <row r="5" spans="1:13" ht="14.15" customHeight="1" thickBot="1" x14ac:dyDescent="0.4">
      <c r="A5" s="1"/>
      <c r="B5" s="129"/>
      <c r="C5" s="130"/>
      <c r="D5" s="130"/>
      <c r="E5" s="130"/>
      <c r="F5" s="130"/>
      <c r="G5" s="130"/>
      <c r="H5" s="131"/>
      <c r="K5" s="132" t="s">
        <v>4</v>
      </c>
      <c r="L5" s="133"/>
      <c r="M5" s="134"/>
    </row>
    <row r="6" spans="1:13" x14ac:dyDescent="0.35">
      <c r="A6" s="1"/>
      <c r="B6" s="10" t="s">
        <v>5</v>
      </c>
      <c r="C6" s="11"/>
      <c r="D6" s="11" t="s">
        <v>6</v>
      </c>
      <c r="E6" s="12"/>
      <c r="F6" s="13"/>
      <c r="G6" s="14"/>
      <c r="H6" s="15"/>
      <c r="K6" s="16">
        <v>1</v>
      </c>
      <c r="L6" s="17" t="s">
        <v>7</v>
      </c>
      <c r="M6" s="18">
        <v>1000</v>
      </c>
    </row>
    <row r="7" spans="1:13" ht="21" x14ac:dyDescent="0.35">
      <c r="A7" s="1"/>
      <c r="B7" s="19" t="s">
        <v>8</v>
      </c>
      <c r="C7" s="135" t="s">
        <v>9</v>
      </c>
      <c r="D7" s="136"/>
      <c r="E7" s="20" t="s">
        <v>10</v>
      </c>
      <c r="F7" s="21" t="s">
        <v>11</v>
      </c>
      <c r="G7" s="21" t="s">
        <v>12</v>
      </c>
      <c r="H7" s="22" t="s">
        <v>13</v>
      </c>
      <c r="K7" s="16"/>
      <c r="L7" s="17" t="s">
        <v>14</v>
      </c>
      <c r="M7" s="18">
        <v>0</v>
      </c>
    </row>
    <row r="8" spans="1:13" x14ac:dyDescent="0.35">
      <c r="A8" s="1"/>
      <c r="B8" s="81">
        <v>1</v>
      </c>
      <c r="C8" s="23" t="s">
        <v>15</v>
      </c>
      <c r="D8" s="23"/>
      <c r="E8" s="24" t="s">
        <v>16</v>
      </c>
      <c r="F8" s="25">
        <f>M7</f>
        <v>0</v>
      </c>
      <c r="G8" s="26">
        <v>18</v>
      </c>
      <c r="H8" s="27">
        <f>F8*G8</f>
        <v>0</v>
      </c>
      <c r="K8" s="16"/>
      <c r="L8" s="17" t="s">
        <v>17</v>
      </c>
      <c r="M8" s="18">
        <v>0</v>
      </c>
    </row>
    <row r="9" spans="1:13" x14ac:dyDescent="0.35">
      <c r="A9" s="1"/>
      <c r="B9" s="81">
        <v>2</v>
      </c>
      <c r="C9" s="23" t="s">
        <v>18</v>
      </c>
      <c r="D9" s="23"/>
      <c r="E9" s="24" t="s">
        <v>16</v>
      </c>
      <c r="F9" s="25">
        <f>M7</f>
        <v>0</v>
      </c>
      <c r="G9" s="26">
        <v>4.5</v>
      </c>
      <c r="H9" s="27">
        <f t="shared" ref="H9:H24" si="0">F9*G9</f>
        <v>0</v>
      </c>
      <c r="K9" s="16"/>
      <c r="L9" s="17" t="s">
        <v>19</v>
      </c>
      <c r="M9" s="18">
        <v>0</v>
      </c>
    </row>
    <row r="10" spans="1:13" x14ac:dyDescent="0.35">
      <c r="A10" s="1"/>
      <c r="B10" s="81">
        <v>3</v>
      </c>
      <c r="C10" s="23" t="s">
        <v>20</v>
      </c>
      <c r="D10" s="23"/>
      <c r="E10" s="24" t="s">
        <v>16</v>
      </c>
      <c r="F10" s="25">
        <f>M7+M9</f>
        <v>0</v>
      </c>
      <c r="G10" s="26">
        <v>3.5</v>
      </c>
      <c r="H10" s="27">
        <f t="shared" si="0"/>
        <v>0</v>
      </c>
      <c r="K10" s="16"/>
      <c r="L10" s="17"/>
      <c r="M10" s="18"/>
    </row>
    <row r="11" spans="1:13" x14ac:dyDescent="0.35">
      <c r="A11" s="1"/>
      <c r="B11" s="81">
        <v>4</v>
      </c>
      <c r="C11" s="23" t="s">
        <v>21</v>
      </c>
      <c r="D11" s="23"/>
      <c r="E11" s="24" t="s">
        <v>22</v>
      </c>
      <c r="F11" s="25">
        <f>TRUNC(I11)</f>
        <v>0</v>
      </c>
      <c r="G11" s="26">
        <v>320</v>
      </c>
      <c r="H11" s="27">
        <f>F11*G11</f>
        <v>0</v>
      </c>
      <c r="I11" s="28">
        <f>IF((M7&gt;999),IF(F8&lt;1001,"1",((F8/1000)+1)),0)</f>
        <v>0</v>
      </c>
      <c r="K11" s="16"/>
      <c r="L11" s="17"/>
      <c r="M11" s="18"/>
    </row>
    <row r="12" spans="1:13" x14ac:dyDescent="0.35">
      <c r="A12" s="1"/>
      <c r="B12" s="81">
        <v>5</v>
      </c>
      <c r="C12" s="23" t="s">
        <v>23</v>
      </c>
      <c r="D12" s="23"/>
      <c r="E12" s="24" t="s">
        <v>22</v>
      </c>
      <c r="F12" s="25">
        <f>ROUNDDOWN((M7/4000),0)</f>
        <v>0</v>
      </c>
      <c r="G12" s="26">
        <v>100</v>
      </c>
      <c r="H12" s="27">
        <f t="shared" si="0"/>
        <v>0</v>
      </c>
      <c r="K12" s="16"/>
      <c r="L12" s="17"/>
      <c r="M12" s="18"/>
    </row>
    <row r="13" spans="1:13" x14ac:dyDescent="0.35">
      <c r="A13" s="1"/>
      <c r="B13" s="81">
        <v>8</v>
      </c>
      <c r="C13" s="29"/>
      <c r="D13" s="29"/>
      <c r="E13" s="29"/>
      <c r="F13" s="113"/>
      <c r="G13" s="29"/>
      <c r="H13" s="27"/>
      <c r="K13" s="30">
        <v>2</v>
      </c>
      <c r="L13" s="31" t="s">
        <v>24</v>
      </c>
      <c r="M13" s="32">
        <v>800</v>
      </c>
    </row>
    <row r="14" spans="1:13" x14ac:dyDescent="0.35">
      <c r="A14" s="1"/>
      <c r="B14" s="81">
        <v>9</v>
      </c>
      <c r="C14" s="123" t="s">
        <v>25</v>
      </c>
      <c r="D14" s="124"/>
      <c r="E14" s="33" t="s">
        <v>16</v>
      </c>
      <c r="F14" s="25">
        <f>M6+M8</f>
        <v>1000</v>
      </c>
      <c r="G14" s="24">
        <v>8</v>
      </c>
      <c r="H14" s="34">
        <f t="shared" si="0"/>
        <v>8000</v>
      </c>
      <c r="K14" s="30">
        <v>3</v>
      </c>
      <c r="L14" s="31" t="s">
        <v>26</v>
      </c>
      <c r="M14" s="32">
        <v>2765</v>
      </c>
    </row>
    <row r="15" spans="1:13" x14ac:dyDescent="0.35">
      <c r="A15" s="1"/>
      <c r="B15" s="81">
        <v>10</v>
      </c>
      <c r="C15" s="139" t="s">
        <v>27</v>
      </c>
      <c r="D15" s="140"/>
      <c r="E15" s="35" t="s">
        <v>28</v>
      </c>
      <c r="F15" s="114">
        <f>ROUND(M6/95,0)</f>
        <v>11</v>
      </c>
      <c r="G15" s="36">
        <v>220</v>
      </c>
      <c r="H15" s="34">
        <f t="shared" si="0"/>
        <v>2420</v>
      </c>
      <c r="K15" s="30">
        <v>4</v>
      </c>
      <c r="L15" s="31" t="s">
        <v>29</v>
      </c>
      <c r="M15" s="37">
        <v>28</v>
      </c>
    </row>
    <row r="16" spans="1:13" x14ac:dyDescent="0.35">
      <c r="A16" s="1"/>
      <c r="B16" s="81">
        <v>11</v>
      </c>
      <c r="C16" s="123" t="s">
        <v>30</v>
      </c>
      <c r="D16" s="124"/>
      <c r="E16" s="38" t="s">
        <v>28</v>
      </c>
      <c r="F16" s="114">
        <v>1</v>
      </c>
      <c r="G16" s="36">
        <v>40</v>
      </c>
      <c r="H16" s="34">
        <f t="shared" si="0"/>
        <v>40</v>
      </c>
    </row>
    <row r="17" spans="1:13" ht="15" thickBot="1" x14ac:dyDescent="0.4">
      <c r="A17" s="1"/>
      <c r="B17" s="81">
        <v>12</v>
      </c>
      <c r="C17" s="123" t="s">
        <v>31</v>
      </c>
      <c r="D17" s="124"/>
      <c r="E17" s="38" t="s">
        <v>28</v>
      </c>
      <c r="F17" s="114">
        <f>ROUNDDOWN((M6/4000),0)</f>
        <v>0</v>
      </c>
      <c r="G17" s="36">
        <v>100</v>
      </c>
      <c r="H17" s="34">
        <f t="shared" si="0"/>
        <v>0</v>
      </c>
    </row>
    <row r="18" spans="1:13" ht="15" thickBot="1" x14ac:dyDescent="0.4">
      <c r="A18" s="1"/>
      <c r="B18" s="81">
        <v>13</v>
      </c>
      <c r="C18" s="141" t="s">
        <v>32</v>
      </c>
      <c r="D18" s="142"/>
      <c r="E18" s="39" t="s">
        <v>28</v>
      </c>
      <c r="F18" s="114">
        <f>ROUND(I18,0)</f>
        <v>1</v>
      </c>
      <c r="G18" s="36">
        <v>270</v>
      </c>
      <c r="H18" s="34">
        <f t="shared" si="0"/>
        <v>270</v>
      </c>
      <c r="I18" s="28">
        <f>M6/2000</f>
        <v>0.5</v>
      </c>
      <c r="K18" s="40" t="s">
        <v>33</v>
      </c>
      <c r="L18" s="41"/>
      <c r="M18" s="42"/>
    </row>
    <row r="19" spans="1:13" x14ac:dyDescent="0.35">
      <c r="A19" s="1"/>
      <c r="B19" s="81">
        <v>14</v>
      </c>
      <c r="C19" s="141" t="s">
        <v>34</v>
      </c>
      <c r="D19" s="142"/>
      <c r="E19" s="39" t="s">
        <v>28</v>
      </c>
      <c r="F19" s="114">
        <f>ROUNDDOWN(M6/2000,0)</f>
        <v>0</v>
      </c>
      <c r="G19" s="36">
        <v>100</v>
      </c>
      <c r="H19" s="34">
        <f t="shared" si="0"/>
        <v>0</v>
      </c>
      <c r="I19" s="28"/>
      <c r="K19" s="43">
        <v>1</v>
      </c>
      <c r="L19" s="44" t="s">
        <v>35</v>
      </c>
      <c r="M19" s="45">
        <f>H69</f>
        <v>136771.05166320002</v>
      </c>
    </row>
    <row r="20" spans="1:13" x14ac:dyDescent="0.35">
      <c r="A20" s="1"/>
      <c r="B20" s="81">
        <v>15</v>
      </c>
      <c r="C20" s="123" t="s">
        <v>36</v>
      </c>
      <c r="D20" s="124"/>
      <c r="E20" s="38" t="s">
        <v>28</v>
      </c>
      <c r="F20" s="114">
        <v>1</v>
      </c>
      <c r="G20" s="36">
        <v>150</v>
      </c>
      <c r="H20" s="34">
        <f t="shared" si="0"/>
        <v>150</v>
      </c>
      <c r="K20" s="46">
        <v>2</v>
      </c>
      <c r="L20" s="47" t="s">
        <v>37</v>
      </c>
      <c r="M20" s="48">
        <f>M13</f>
        <v>800</v>
      </c>
    </row>
    <row r="21" spans="1:13" x14ac:dyDescent="0.35">
      <c r="A21" s="1"/>
      <c r="B21" s="81">
        <v>16</v>
      </c>
      <c r="C21" s="141" t="s">
        <v>38</v>
      </c>
      <c r="D21" s="142"/>
      <c r="E21" s="39" t="s">
        <v>28</v>
      </c>
      <c r="F21" s="115">
        <v>1</v>
      </c>
      <c r="G21" s="49">
        <v>400</v>
      </c>
      <c r="H21" s="34">
        <f t="shared" si="0"/>
        <v>400</v>
      </c>
      <c r="K21" s="50"/>
      <c r="L21" s="51" t="s">
        <v>39</v>
      </c>
      <c r="M21" s="48">
        <f>M19-M20</f>
        <v>135971.05166320002</v>
      </c>
    </row>
    <row r="22" spans="1:13" x14ac:dyDescent="0.35">
      <c r="A22" s="1"/>
      <c r="B22" s="81">
        <v>17</v>
      </c>
      <c r="C22" s="141" t="s">
        <v>40</v>
      </c>
      <c r="D22" s="142"/>
      <c r="E22" s="39" t="s">
        <v>28</v>
      </c>
      <c r="F22" s="116">
        <v>4</v>
      </c>
      <c r="G22" s="26">
        <v>45</v>
      </c>
      <c r="H22" s="34">
        <f t="shared" si="0"/>
        <v>180</v>
      </c>
      <c r="K22"/>
      <c r="L22"/>
      <c r="M22"/>
    </row>
    <row r="23" spans="1:13" ht="15" thickBot="1" x14ac:dyDescent="0.4">
      <c r="A23" s="1"/>
      <c r="B23" s="81">
        <v>18</v>
      </c>
      <c r="C23" s="141" t="s">
        <v>41</v>
      </c>
      <c r="D23" s="142"/>
      <c r="E23" s="39" t="s">
        <v>28</v>
      </c>
      <c r="F23" s="116">
        <f>ROUNDUP(I23,0)</f>
        <v>1</v>
      </c>
      <c r="G23" s="26">
        <v>1500</v>
      </c>
      <c r="H23" s="34">
        <f t="shared" si="0"/>
        <v>1500</v>
      </c>
      <c r="I23" s="52">
        <f>F14/1800</f>
        <v>0.55555555555555558</v>
      </c>
      <c r="K23" s="50"/>
      <c r="L23"/>
      <c r="M23" s="53"/>
    </row>
    <row r="24" spans="1:13" ht="15" thickBot="1" x14ac:dyDescent="0.4">
      <c r="A24" s="1"/>
      <c r="B24" s="81">
        <v>19</v>
      </c>
      <c r="C24" s="143" t="s">
        <v>42</v>
      </c>
      <c r="D24" s="144"/>
      <c r="E24" s="54" t="s">
        <v>28</v>
      </c>
      <c r="F24" s="117">
        <v>1</v>
      </c>
      <c r="G24" s="55">
        <v>500</v>
      </c>
      <c r="H24" s="56">
        <f t="shared" si="0"/>
        <v>500</v>
      </c>
      <c r="K24" s="40" t="s">
        <v>43</v>
      </c>
      <c r="L24" s="41"/>
      <c r="M24" s="42"/>
    </row>
    <row r="25" spans="1:13" x14ac:dyDescent="0.35">
      <c r="A25" s="1"/>
      <c r="B25" s="57"/>
      <c r="C25" s="58"/>
      <c r="D25" s="59"/>
      <c r="E25" s="59"/>
      <c r="F25" s="60"/>
      <c r="G25" s="61"/>
      <c r="H25" s="62">
        <f>SUM(H8:H24)</f>
        <v>13460</v>
      </c>
      <c r="K25" s="43">
        <v>1</v>
      </c>
      <c r="L25" s="63" t="s">
        <v>44</v>
      </c>
      <c r="M25" s="45">
        <f>M21/M14</f>
        <v>49.175787219963844</v>
      </c>
    </row>
    <row r="26" spans="1:13" x14ac:dyDescent="0.35">
      <c r="A26" s="1"/>
      <c r="B26" s="64"/>
      <c r="C26" s="65"/>
      <c r="D26" s="66"/>
      <c r="E26" s="66"/>
      <c r="F26" s="67"/>
      <c r="G26" s="68"/>
      <c r="H26" s="69"/>
      <c r="K26" s="46">
        <v>2</v>
      </c>
      <c r="L26" s="47" t="s">
        <v>45</v>
      </c>
      <c r="M26" s="48">
        <f>M25/12</f>
        <v>4.0979822683303206</v>
      </c>
    </row>
    <row r="27" spans="1:13" x14ac:dyDescent="0.35">
      <c r="A27" s="1"/>
      <c r="B27" s="70" t="s">
        <v>46</v>
      </c>
      <c r="C27" s="71"/>
      <c r="D27" s="71" t="s">
        <v>47</v>
      </c>
      <c r="E27" s="72"/>
      <c r="F27" s="118"/>
      <c r="G27" s="73"/>
      <c r="H27" s="74"/>
    </row>
    <row r="28" spans="1:13" x14ac:dyDescent="0.35">
      <c r="A28" s="1"/>
      <c r="B28" s="75" t="s">
        <v>8</v>
      </c>
      <c r="C28" s="76" t="s">
        <v>48</v>
      </c>
      <c r="D28" s="77" t="s">
        <v>49</v>
      </c>
      <c r="E28" s="78" t="s">
        <v>50</v>
      </c>
      <c r="F28" s="78" t="s">
        <v>51</v>
      </c>
      <c r="G28" s="79" t="s">
        <v>52</v>
      </c>
      <c r="H28" s="80" t="s">
        <v>53</v>
      </c>
      <c r="M28" s="122"/>
    </row>
    <row r="29" spans="1:13" x14ac:dyDescent="0.35">
      <c r="A29" s="1"/>
      <c r="B29" s="81">
        <v>1</v>
      </c>
      <c r="C29" s="25" t="s">
        <v>54</v>
      </c>
      <c r="D29" s="24" t="s">
        <v>55</v>
      </c>
      <c r="E29" s="24" t="s">
        <v>56</v>
      </c>
      <c r="F29" s="115">
        <v>1</v>
      </c>
      <c r="G29" s="82">
        <f>66.5*M15</f>
        <v>1862</v>
      </c>
      <c r="H29" s="27">
        <f t="shared" ref="H29:H45" si="1">F29*G29</f>
        <v>1862</v>
      </c>
      <c r="M29" s="122"/>
    </row>
    <row r="30" spans="1:13" x14ac:dyDescent="0.35">
      <c r="A30" s="1"/>
      <c r="B30" s="81">
        <v>2</v>
      </c>
      <c r="C30" s="25" t="s">
        <v>57</v>
      </c>
      <c r="D30" s="24" t="s">
        <v>58</v>
      </c>
      <c r="E30" s="24" t="s">
        <v>56</v>
      </c>
      <c r="F30" s="115">
        <v>2</v>
      </c>
      <c r="G30" s="82">
        <f>12.49*M15</f>
        <v>349.72</v>
      </c>
      <c r="H30" s="27">
        <f t="shared" si="1"/>
        <v>699.44</v>
      </c>
    </row>
    <row r="31" spans="1:13" x14ac:dyDescent="0.35">
      <c r="A31" s="1"/>
      <c r="B31" s="81">
        <v>3</v>
      </c>
      <c r="C31" s="25" t="s">
        <v>59</v>
      </c>
      <c r="D31" s="24" t="s">
        <v>60</v>
      </c>
      <c r="E31" s="24" t="s">
        <v>56</v>
      </c>
      <c r="F31" s="115">
        <v>2</v>
      </c>
      <c r="G31" s="82">
        <f>2.2019*M15</f>
        <v>61.653200000000005</v>
      </c>
      <c r="H31" s="27">
        <f t="shared" si="1"/>
        <v>123.30640000000001</v>
      </c>
    </row>
    <row r="32" spans="1:13" x14ac:dyDescent="0.35">
      <c r="A32" s="1"/>
      <c r="B32" s="81">
        <v>4</v>
      </c>
      <c r="C32" s="25" t="s">
        <v>61</v>
      </c>
      <c r="D32" s="24" t="s">
        <v>62</v>
      </c>
      <c r="E32" s="24" t="s">
        <v>16</v>
      </c>
      <c r="F32" s="115">
        <f>M7+M8+M9+M6</f>
        <v>1000</v>
      </c>
      <c r="G32" s="82">
        <v>30</v>
      </c>
      <c r="H32" s="27">
        <f t="shared" si="1"/>
        <v>30000</v>
      </c>
    </row>
    <row r="33" spans="1:12" x14ac:dyDescent="0.35">
      <c r="A33" s="1"/>
      <c r="B33" s="81">
        <v>5</v>
      </c>
      <c r="C33" s="25" t="s">
        <v>63</v>
      </c>
      <c r="D33" s="24" t="s">
        <v>64</v>
      </c>
      <c r="E33" s="24" t="s">
        <v>22</v>
      </c>
      <c r="F33" s="115">
        <f>F11</f>
        <v>0</v>
      </c>
      <c r="G33" s="83">
        <v>6300</v>
      </c>
      <c r="H33" s="27">
        <f t="shared" si="1"/>
        <v>0</v>
      </c>
    </row>
    <row r="34" spans="1:12" x14ac:dyDescent="0.35">
      <c r="A34" s="1"/>
      <c r="B34" s="81">
        <v>6</v>
      </c>
      <c r="C34" s="25" t="s">
        <v>65</v>
      </c>
      <c r="D34" s="24" t="s">
        <v>66</v>
      </c>
      <c r="E34" s="24" t="s">
        <v>16</v>
      </c>
      <c r="F34" s="115">
        <f>F8</f>
        <v>0</v>
      </c>
      <c r="G34" s="83">
        <f>0.0725*M15</f>
        <v>2.0299999999999998</v>
      </c>
      <c r="H34" s="27">
        <f t="shared" si="1"/>
        <v>0</v>
      </c>
    </row>
    <row r="35" spans="1:12" x14ac:dyDescent="0.35">
      <c r="A35" s="1"/>
      <c r="B35" s="81">
        <v>7</v>
      </c>
      <c r="C35" s="25" t="s">
        <v>67</v>
      </c>
      <c r="D35" s="24" t="s">
        <v>68</v>
      </c>
      <c r="E35" s="24" t="s">
        <v>16</v>
      </c>
      <c r="F35" s="115">
        <f>F8</f>
        <v>0</v>
      </c>
      <c r="G35" s="83">
        <f>0.581*M15</f>
        <v>16.268000000000001</v>
      </c>
      <c r="H35" s="27">
        <f t="shared" si="1"/>
        <v>0</v>
      </c>
    </row>
    <row r="36" spans="1:12" x14ac:dyDescent="0.35">
      <c r="A36" s="1"/>
      <c r="B36" s="81"/>
      <c r="C36" s="25" t="s">
        <v>69</v>
      </c>
      <c r="D36" s="24" t="s">
        <v>70</v>
      </c>
      <c r="E36" s="24" t="s">
        <v>22</v>
      </c>
      <c r="F36" s="115">
        <f>F19*2</f>
        <v>0</v>
      </c>
      <c r="G36" s="83">
        <v>240</v>
      </c>
      <c r="H36" s="27">
        <f t="shared" si="1"/>
        <v>0</v>
      </c>
    </row>
    <row r="37" spans="1:12" x14ac:dyDescent="0.35">
      <c r="A37" s="1"/>
      <c r="B37" s="81">
        <v>8</v>
      </c>
      <c r="C37" s="25" t="s">
        <v>71</v>
      </c>
      <c r="D37" s="24" t="s">
        <v>72</v>
      </c>
      <c r="E37" s="24" t="s">
        <v>56</v>
      </c>
      <c r="F37" s="115">
        <f>F12</f>
        <v>0</v>
      </c>
      <c r="G37" s="83">
        <f>32.9*M15</f>
        <v>921.19999999999993</v>
      </c>
      <c r="H37" s="27">
        <f t="shared" si="1"/>
        <v>0</v>
      </c>
      <c r="L37" s="152">
        <f>H25/H65</f>
        <v>0.11415866011214593</v>
      </c>
    </row>
    <row r="38" spans="1:12" x14ac:dyDescent="0.35">
      <c r="A38" s="1"/>
      <c r="B38" s="81">
        <v>9</v>
      </c>
      <c r="C38" s="25" t="s">
        <v>73</v>
      </c>
      <c r="D38" s="24" t="s">
        <v>74</v>
      </c>
      <c r="E38" s="24" t="s">
        <v>22</v>
      </c>
      <c r="F38" s="115">
        <v>1</v>
      </c>
      <c r="G38" s="83">
        <f>12.7699*M15</f>
        <v>357.55719999999997</v>
      </c>
      <c r="H38" s="27">
        <f t="shared" si="1"/>
        <v>357.55719999999997</v>
      </c>
    </row>
    <row r="39" spans="1:12" x14ac:dyDescent="0.35">
      <c r="A39" s="1"/>
      <c r="B39" s="81">
        <v>10</v>
      </c>
      <c r="C39" s="84" t="s">
        <v>75</v>
      </c>
      <c r="D39" s="24" t="s">
        <v>76</v>
      </c>
      <c r="E39" s="24" t="s">
        <v>56</v>
      </c>
      <c r="F39" s="115">
        <f>F17</f>
        <v>0</v>
      </c>
      <c r="G39" s="26">
        <f>34.3015*M15</f>
        <v>960.44199999999989</v>
      </c>
      <c r="H39" s="27">
        <f t="shared" si="1"/>
        <v>0</v>
      </c>
    </row>
    <row r="40" spans="1:12" x14ac:dyDescent="0.35">
      <c r="A40" s="1"/>
      <c r="B40" s="81">
        <v>11</v>
      </c>
      <c r="C40" s="84" t="s">
        <v>77</v>
      </c>
      <c r="D40" s="24" t="s">
        <v>78</v>
      </c>
      <c r="E40" s="24" t="s">
        <v>22</v>
      </c>
      <c r="F40" s="115">
        <f>F19</f>
        <v>0</v>
      </c>
      <c r="G40" s="85">
        <f>21.22*M15</f>
        <v>594.16</v>
      </c>
      <c r="H40" s="27">
        <f t="shared" si="1"/>
        <v>0</v>
      </c>
    </row>
    <row r="41" spans="1:12" x14ac:dyDescent="0.35">
      <c r="A41" s="1"/>
      <c r="B41" s="81">
        <v>12</v>
      </c>
      <c r="C41" s="84" t="s">
        <v>79</v>
      </c>
      <c r="D41" s="24" t="s">
        <v>80</v>
      </c>
      <c r="E41" s="23" t="s">
        <v>22</v>
      </c>
      <c r="F41" s="25">
        <f>F15</f>
        <v>11</v>
      </c>
      <c r="G41" s="85">
        <v>4500</v>
      </c>
      <c r="H41" s="27">
        <f t="shared" si="1"/>
        <v>49500</v>
      </c>
    </row>
    <row r="42" spans="1:12" x14ac:dyDescent="0.35">
      <c r="A42" s="1"/>
      <c r="B42" s="81">
        <v>13</v>
      </c>
      <c r="C42" s="84" t="s">
        <v>81</v>
      </c>
      <c r="D42" s="24" t="s">
        <v>82</v>
      </c>
      <c r="E42" s="23" t="s">
        <v>22</v>
      </c>
      <c r="F42" s="25">
        <f>F41+F18+(F43/2)</f>
        <v>16</v>
      </c>
      <c r="G42" s="86">
        <f>11.2445*M15</f>
        <v>314.846</v>
      </c>
      <c r="H42" s="27">
        <f t="shared" si="1"/>
        <v>5037.5360000000001</v>
      </c>
    </row>
    <row r="43" spans="1:12" x14ac:dyDescent="0.35">
      <c r="A43" s="1"/>
      <c r="B43" s="81">
        <v>14</v>
      </c>
      <c r="C43" s="84" t="s">
        <v>83</v>
      </c>
      <c r="D43" s="24" t="s">
        <v>84</v>
      </c>
      <c r="E43" s="23" t="s">
        <v>22</v>
      </c>
      <c r="F43" s="25">
        <f>ROUNDUP(I43,0)</f>
        <v>8</v>
      </c>
      <c r="G43" s="86">
        <f>17.2204*M15</f>
        <v>482.17120000000006</v>
      </c>
      <c r="H43" s="27">
        <f t="shared" si="1"/>
        <v>3857.3696000000004</v>
      </c>
      <c r="I43" s="52">
        <f>(F14/255)*2</f>
        <v>7.8431372549019605</v>
      </c>
    </row>
    <row r="44" spans="1:12" x14ac:dyDescent="0.35">
      <c r="A44" s="1"/>
      <c r="B44" s="81">
        <v>15</v>
      </c>
      <c r="C44" s="84" t="s">
        <v>85</v>
      </c>
      <c r="D44" s="24" t="s">
        <v>86</v>
      </c>
      <c r="E44" s="23" t="s">
        <v>22</v>
      </c>
      <c r="F44" s="25">
        <f>F43</f>
        <v>8</v>
      </c>
      <c r="G44" s="86">
        <f>21.3468*M15</f>
        <v>597.71040000000005</v>
      </c>
      <c r="H44" s="27">
        <f t="shared" si="1"/>
        <v>4781.6832000000004</v>
      </c>
      <c r="L44" s="87"/>
    </row>
    <row r="45" spans="1:12" x14ac:dyDescent="0.35">
      <c r="A45" s="1"/>
      <c r="B45" s="81">
        <v>16</v>
      </c>
      <c r="C45" s="84" t="s">
        <v>87</v>
      </c>
      <c r="D45" s="24" t="s">
        <v>88</v>
      </c>
      <c r="E45" s="23" t="s">
        <v>56</v>
      </c>
      <c r="F45" s="115">
        <f>F18</f>
        <v>1</v>
      </c>
      <c r="G45" s="26">
        <f>74.43*M15</f>
        <v>2084.04</v>
      </c>
      <c r="H45" s="27">
        <f t="shared" si="1"/>
        <v>2084.04</v>
      </c>
    </row>
    <row r="46" spans="1:12" x14ac:dyDescent="0.35">
      <c r="A46" s="1"/>
      <c r="B46" s="57"/>
      <c r="C46" s="58"/>
      <c r="D46" s="59"/>
      <c r="E46" s="59"/>
      <c r="F46" s="60"/>
      <c r="G46" s="61"/>
      <c r="H46" s="80">
        <f>SUM(H29:H45)</f>
        <v>98302.932400000005</v>
      </c>
    </row>
    <row r="47" spans="1:12" x14ac:dyDescent="0.35">
      <c r="A47" s="1"/>
      <c r="B47" s="88"/>
      <c r="C47" s="1"/>
      <c r="D47" s="6"/>
      <c r="E47" s="6"/>
      <c r="F47" s="7"/>
      <c r="G47" s="8"/>
      <c r="H47" s="89"/>
    </row>
    <row r="48" spans="1:12" x14ac:dyDescent="0.35">
      <c r="A48" s="1"/>
      <c r="B48" s="90" t="s">
        <v>89</v>
      </c>
      <c r="C48" s="91"/>
      <c r="D48" s="91" t="s">
        <v>90</v>
      </c>
      <c r="E48" s="92"/>
      <c r="F48" s="119"/>
      <c r="G48" s="92"/>
      <c r="H48" s="93"/>
    </row>
    <row r="49" spans="1:8" x14ac:dyDescent="0.35">
      <c r="A49" s="1"/>
      <c r="B49" s="81">
        <v>1</v>
      </c>
      <c r="C49" s="145" t="s">
        <v>91</v>
      </c>
      <c r="D49" s="146"/>
      <c r="E49" s="24" t="s">
        <v>92</v>
      </c>
      <c r="F49" s="25">
        <v>1</v>
      </c>
      <c r="G49" s="26">
        <f>0.05*(H46+H25)</f>
        <v>5588.1466200000004</v>
      </c>
      <c r="H49" s="80">
        <f>G49*F49</f>
        <v>5588.1466200000004</v>
      </c>
    </row>
    <row r="50" spans="1:8" x14ac:dyDescent="0.35">
      <c r="A50" s="1"/>
      <c r="B50" s="94"/>
      <c r="C50" s="67"/>
      <c r="D50" s="66"/>
      <c r="E50" s="66"/>
      <c r="F50" s="67"/>
      <c r="G50" s="68"/>
      <c r="H50" s="69"/>
    </row>
    <row r="51" spans="1:8" x14ac:dyDescent="0.35">
      <c r="A51" s="1"/>
      <c r="B51" s="90" t="s">
        <v>93</v>
      </c>
      <c r="C51" s="91"/>
      <c r="D51" s="91" t="s">
        <v>94</v>
      </c>
      <c r="E51" s="92"/>
      <c r="F51" s="119"/>
      <c r="G51" s="92"/>
      <c r="H51" s="93"/>
    </row>
    <row r="52" spans="1:8" x14ac:dyDescent="0.35">
      <c r="A52" s="1"/>
      <c r="B52" s="95" t="s">
        <v>8</v>
      </c>
      <c r="C52" s="137" t="s">
        <v>49</v>
      </c>
      <c r="D52" s="138"/>
      <c r="E52" s="96" t="s">
        <v>50</v>
      </c>
      <c r="F52" s="96" t="s">
        <v>51</v>
      </c>
      <c r="G52" s="79" t="s">
        <v>52</v>
      </c>
      <c r="H52" s="80" t="s">
        <v>53</v>
      </c>
    </row>
    <row r="53" spans="1:8" x14ac:dyDescent="0.35">
      <c r="A53" s="1"/>
      <c r="B53" s="97">
        <v>1</v>
      </c>
      <c r="C53" s="150" t="s">
        <v>95</v>
      </c>
      <c r="D53" s="151"/>
      <c r="E53" s="98" t="s">
        <v>22</v>
      </c>
      <c r="F53" s="30">
        <v>1</v>
      </c>
      <c r="G53" s="25">
        <v>500</v>
      </c>
      <c r="H53" s="80">
        <f>F53*G53</f>
        <v>500</v>
      </c>
    </row>
    <row r="54" spans="1:8" x14ac:dyDescent="0.35">
      <c r="A54" s="1"/>
      <c r="B54" s="97">
        <v>2</v>
      </c>
      <c r="C54" s="150" t="s">
        <v>96</v>
      </c>
      <c r="D54" s="151"/>
      <c r="E54" s="98" t="s">
        <v>22</v>
      </c>
      <c r="F54" s="30">
        <f>F8</f>
        <v>0</v>
      </c>
      <c r="G54" s="25">
        <v>5</v>
      </c>
      <c r="H54" s="80">
        <f>F54*G54</f>
        <v>0</v>
      </c>
    </row>
    <row r="55" spans="1:8" x14ac:dyDescent="0.35">
      <c r="A55" s="1"/>
      <c r="B55" s="97">
        <v>3</v>
      </c>
      <c r="C55" s="150" t="s">
        <v>97</v>
      </c>
      <c r="D55" s="151"/>
      <c r="E55" s="98" t="s">
        <v>16</v>
      </c>
      <c r="F55" s="30"/>
      <c r="G55" s="25">
        <v>100</v>
      </c>
      <c r="H55" s="80">
        <f>F55*G55</f>
        <v>0</v>
      </c>
    </row>
    <row r="56" spans="1:8" x14ac:dyDescent="0.35">
      <c r="A56" s="1"/>
      <c r="B56" s="97">
        <v>4</v>
      </c>
      <c r="C56" s="150" t="s">
        <v>98</v>
      </c>
      <c r="D56" s="151"/>
      <c r="E56" s="98" t="s">
        <v>22</v>
      </c>
      <c r="F56" s="30">
        <f>F15</f>
        <v>11</v>
      </c>
      <c r="G56" s="25">
        <v>5</v>
      </c>
      <c r="H56" s="80">
        <f>F56*G56</f>
        <v>55</v>
      </c>
    </row>
    <row r="57" spans="1:8" ht="15" thickBot="1" x14ac:dyDescent="0.4">
      <c r="A57" s="1"/>
      <c r="B57" s="97">
        <v>5</v>
      </c>
      <c r="C57" s="150" t="s">
        <v>99</v>
      </c>
      <c r="D57" s="151"/>
      <c r="E57" s="98" t="s">
        <v>28</v>
      </c>
      <c r="F57" s="30">
        <f>F11</f>
        <v>0</v>
      </c>
      <c r="G57" s="25">
        <v>120</v>
      </c>
      <c r="H57" s="99">
        <f>F57*G57</f>
        <v>0</v>
      </c>
    </row>
    <row r="58" spans="1:8" ht="15" thickBot="1" x14ac:dyDescent="0.4">
      <c r="A58" s="1"/>
      <c r="B58" s="88"/>
      <c r="C58" s="1"/>
      <c r="D58" s="6"/>
      <c r="E58" s="6"/>
      <c r="F58" s="7"/>
      <c r="G58" s="61"/>
      <c r="H58" s="100">
        <f>SUM(H53:H57)</f>
        <v>555</v>
      </c>
    </row>
    <row r="59" spans="1:8" ht="15" thickBot="1" x14ac:dyDescent="0.4">
      <c r="A59" s="1"/>
      <c r="B59" s="88"/>
      <c r="C59" s="1"/>
      <c r="D59" s="6"/>
      <c r="E59" s="6"/>
      <c r="F59" s="7"/>
      <c r="G59" s="61"/>
      <c r="H59" s="101"/>
    </row>
    <row r="60" spans="1:8" x14ac:dyDescent="0.35">
      <c r="A60" s="1"/>
      <c r="B60" s="102" t="s">
        <v>100</v>
      </c>
      <c r="C60" s="103"/>
      <c r="D60" s="103" t="s">
        <v>101</v>
      </c>
      <c r="E60" s="104"/>
      <c r="F60" s="120"/>
      <c r="G60" s="104"/>
      <c r="H60" s="105"/>
    </row>
    <row r="61" spans="1:8" x14ac:dyDescent="0.35">
      <c r="A61" s="1"/>
      <c r="B61" s="81">
        <v>1</v>
      </c>
      <c r="C61" s="145" t="s">
        <v>102</v>
      </c>
      <c r="D61" s="146"/>
      <c r="E61" s="24" t="s">
        <v>22</v>
      </c>
      <c r="F61" s="25">
        <v>0</v>
      </c>
      <c r="G61" s="26">
        <f>580*M15</f>
        <v>16240</v>
      </c>
      <c r="H61" s="80">
        <f>G61*F61</f>
        <v>0</v>
      </c>
    </row>
    <row r="62" spans="1:8" x14ac:dyDescent="0.35">
      <c r="A62" s="1"/>
      <c r="B62" s="97">
        <v>2</v>
      </c>
      <c r="C62" s="147" t="s">
        <v>103</v>
      </c>
      <c r="D62" s="147"/>
      <c r="E62" s="98" t="s">
        <v>22</v>
      </c>
      <c r="F62" s="30">
        <v>0</v>
      </c>
      <c r="G62" s="26">
        <f>55*M15</f>
        <v>1540</v>
      </c>
      <c r="H62" s="80">
        <f>G62*F62</f>
        <v>0</v>
      </c>
    </row>
    <row r="63" spans="1:8" x14ac:dyDescent="0.35">
      <c r="A63" s="1"/>
      <c r="B63" s="106"/>
      <c r="C63" s="7"/>
      <c r="D63" s="7"/>
      <c r="E63" s="6"/>
      <c r="F63" s="7"/>
      <c r="G63" s="61"/>
      <c r="H63" s="80">
        <f>SUM(H61:H62)</f>
        <v>0</v>
      </c>
    </row>
    <row r="64" spans="1:8" x14ac:dyDescent="0.35">
      <c r="A64" s="1"/>
      <c r="B64" s="88"/>
      <c r="C64" s="1"/>
      <c r="D64" s="6"/>
      <c r="E64" s="6"/>
      <c r="F64" s="7"/>
      <c r="G64" s="8"/>
      <c r="H64" s="89"/>
    </row>
    <row r="65" spans="1:8" x14ac:dyDescent="0.35">
      <c r="A65" s="1"/>
      <c r="B65" s="88"/>
      <c r="C65" s="1"/>
      <c r="D65" s="148" t="s">
        <v>104</v>
      </c>
      <c r="E65" s="148"/>
      <c r="F65" s="148"/>
      <c r="G65" s="148"/>
      <c r="H65" s="101">
        <f>H25+H46+H49+H58+H63</f>
        <v>117906.07902</v>
      </c>
    </row>
    <row r="66" spans="1:8" x14ac:dyDescent="0.35">
      <c r="A66" s="1"/>
      <c r="B66" s="88"/>
      <c r="C66" s="1"/>
      <c r="D66" s="59"/>
      <c r="E66" s="59"/>
      <c r="F66" s="60"/>
      <c r="G66" s="61"/>
      <c r="H66" s="107"/>
    </row>
    <row r="67" spans="1:8" x14ac:dyDescent="0.35">
      <c r="A67" s="1"/>
      <c r="B67" s="88"/>
      <c r="C67" s="1"/>
      <c r="D67" s="59"/>
      <c r="E67" s="59"/>
      <c r="F67" s="60"/>
      <c r="G67" s="108" t="s">
        <v>105</v>
      </c>
      <c r="H67" s="101">
        <f>H65*0.16</f>
        <v>18864.972643200002</v>
      </c>
    </row>
    <row r="68" spans="1:8" x14ac:dyDescent="0.35">
      <c r="A68" s="1"/>
      <c r="B68" s="88"/>
      <c r="C68" s="1"/>
      <c r="D68" s="59"/>
      <c r="E68" s="59"/>
      <c r="F68" s="60"/>
      <c r="G68" s="61"/>
      <c r="H68" s="107"/>
    </row>
    <row r="69" spans="1:8" ht="15" thickBot="1" x14ac:dyDescent="0.4">
      <c r="A69" s="1"/>
      <c r="B69" s="109"/>
      <c r="C69" s="110"/>
      <c r="D69" s="111"/>
      <c r="E69" s="149" t="s">
        <v>106</v>
      </c>
      <c r="F69" s="149"/>
      <c r="G69" s="149"/>
      <c r="H69" s="112">
        <f>H65+H67</f>
        <v>136771.05166320002</v>
      </c>
    </row>
  </sheetData>
  <mergeCells count="27">
    <mergeCell ref="C62:D62"/>
    <mergeCell ref="D65:G65"/>
    <mergeCell ref="E69:G69"/>
    <mergeCell ref="C53:D53"/>
    <mergeCell ref="C54:D54"/>
    <mergeCell ref="C55:D55"/>
    <mergeCell ref="C56:D56"/>
    <mergeCell ref="C57:D57"/>
    <mergeCell ref="C61:D61"/>
    <mergeCell ref="C52:D52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49:D49"/>
    <mergeCell ref="C14:D14"/>
    <mergeCell ref="C2:H2"/>
    <mergeCell ref="C3:H3"/>
    <mergeCell ref="B5:H5"/>
    <mergeCell ref="K5:M5"/>
    <mergeCell ref="C7:D7"/>
  </mergeCells>
  <conditionalFormatting sqref="C52">
    <cfRule type="duplicateValues" dxfId="10" priority="3"/>
  </conditionalFormatting>
  <conditionalFormatting sqref="C53">
    <cfRule type="duplicateValues" dxfId="9" priority="5"/>
  </conditionalFormatting>
  <conditionalFormatting sqref="C61">
    <cfRule type="duplicateValues" dxfId="8" priority="2"/>
  </conditionalFormatting>
  <conditionalFormatting sqref="D28">
    <cfRule type="duplicateValues" dxfId="7" priority="9"/>
  </conditionalFormatting>
  <conditionalFormatting sqref="D29:D34">
    <cfRule type="duplicateValues" dxfId="6" priority="17"/>
  </conditionalFormatting>
  <conditionalFormatting sqref="D35:D37">
    <cfRule type="duplicateValues" dxfId="5" priority="20"/>
  </conditionalFormatting>
  <conditionalFormatting sqref="D38:D40">
    <cfRule type="duplicateValues" dxfId="4" priority="11"/>
  </conditionalFormatting>
  <conditionalFormatting sqref="D41:D44">
    <cfRule type="duplicateValues" dxfId="3" priority="8"/>
  </conditionalFormatting>
  <conditionalFormatting sqref="D45">
    <cfRule type="duplicateValues" dxfId="2" priority="7"/>
  </conditionalFormatting>
  <conditionalFormatting sqref="D46:D47 D25:D26 D4 D50 C49 D65:D69">
    <cfRule type="duplicateValues" dxfId="1" priority="10"/>
  </conditionalFormatting>
  <conditionalFormatting sqref="D58:D59 C54:C57 D64">
    <cfRule type="duplicateValues" dxfId="0" priority="4"/>
  </conditionalFormatting>
  <pageMargins left="0.7" right="0.7" top="0.75" bottom="0.75" header="0.3" footer="0.3"/>
  <pageSetup paperSize="9" orientation="portrait" r:id="rId1"/>
  <headerFooter>
    <oddFooter>&amp;C&amp;"Calibri"&amp;11&amp;K000000_x000D_&amp;1#&amp;"Calibri"&amp;10&amp;K000000Public</oddFooter>
  </headerFooter>
  <drawing r:id="rId2"/>
</worksheet>
</file>

<file path=docMetadata/LabelInfo.xml><?xml version="1.0" encoding="utf-8"?>
<clbl:labelList xmlns:clbl="http://schemas.microsoft.com/office/2020/mipLabelMetadata">
  <clbl:label id="{76e4e90f-e797-41e5-9d55-c6534a82165b}" enabled="1" method="Privileged" siteId="{68792612-0f0e-46cb-b16a-fcb82fd80c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Lwiindi Sichala</dc:creator>
  <cp:keywords/>
  <dc:description/>
  <cp:lastModifiedBy>Brian Sichone</cp:lastModifiedBy>
  <cp:revision/>
  <dcterms:created xsi:type="dcterms:W3CDTF">2015-06-05T18:17:20Z</dcterms:created>
  <dcterms:modified xsi:type="dcterms:W3CDTF">2025-12-24T15:44:20Z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e4e90f-e797-41e5-9d55-c6534a82165b_Enabled">
    <vt:lpwstr>true</vt:lpwstr>
  </property>
  <property fmtid="{D5CDD505-2E9C-101B-9397-08002B2CF9AE}" pid="3" name="MSIP_Label_76e4e90f-e797-41e5-9d55-c6534a82165b_SetDate">
    <vt:lpwstr>2023-05-09T11:21:52Z</vt:lpwstr>
  </property>
  <property fmtid="{D5CDD505-2E9C-101B-9397-08002B2CF9AE}" pid="4" name="MSIP_Label_76e4e90f-e797-41e5-9d55-c6534a82165b_Method">
    <vt:lpwstr>Privileged</vt:lpwstr>
  </property>
  <property fmtid="{D5CDD505-2E9C-101B-9397-08002B2CF9AE}" pid="5" name="MSIP_Label_76e4e90f-e797-41e5-9d55-c6534a82165b_Name">
    <vt:lpwstr>76e4e90f-e797-41e5-9d55-c6534a82165b</vt:lpwstr>
  </property>
  <property fmtid="{D5CDD505-2E9C-101B-9397-08002B2CF9AE}" pid="6" name="MSIP_Label_76e4e90f-e797-41e5-9d55-c6534a82165b_SiteId">
    <vt:lpwstr>68792612-0f0e-46cb-b16a-fcb82fd80cb1</vt:lpwstr>
  </property>
  <property fmtid="{D5CDD505-2E9C-101B-9397-08002B2CF9AE}" pid="7" name="MSIP_Label_76e4e90f-e797-41e5-9d55-c6534a82165b_ActionId">
    <vt:lpwstr>67b8dde3-c77e-43d8-94d1-d2be76937840</vt:lpwstr>
  </property>
  <property fmtid="{D5CDD505-2E9C-101B-9397-08002B2CF9AE}" pid="8" name="MSIP_Label_76e4e90f-e797-41e5-9d55-c6534a82165b_ContentBits">
    <vt:lpwstr>2</vt:lpwstr>
  </property>
</Properties>
</file>